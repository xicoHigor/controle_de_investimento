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te\Desktop\Certificados\Reclame AQUI - Dados e IA na Prática\material de estudo\controle_de_investimento\"/>
    </mc:Choice>
  </mc:AlternateContent>
  <xr:revisionPtr revIDLastSave="0" documentId="13_ncr:1_{E155BA05-838E-47AC-BD09-54B505550A6E}" xr6:coauthVersionLast="47" xr6:coauthVersionMax="47" xr10:uidLastSave="{00000000-0000-0000-0000-000000000000}"/>
  <bookViews>
    <workbookView xWindow="-120" yWindow="-120" windowWidth="29040" windowHeight="15720" tabRatio="258" activeTab="1" xr2:uid="{7C1A6C1B-3FBB-4936-99AD-84F8F34789BD}"/>
  </bookViews>
  <sheets>
    <sheet name="tabela_de_apoio" sheetId="2" r:id="rId1"/>
    <sheet name="App" sheetId="1" r:id="rId2"/>
  </sheets>
  <definedNames>
    <definedName name="anos">App!$C$11</definedName>
    <definedName name="aporte">App!$C$10</definedName>
    <definedName name="rendimento">App!$C$6</definedName>
    <definedName name="taxa_mensal">App!$C$12</definedName>
    <definedName name="tota">App!$C$14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1" l="1"/>
  <c r="D28" i="1" s="1"/>
  <c r="C29" i="1"/>
  <c r="D29" i="1" s="1"/>
  <c r="C30" i="1"/>
  <c r="D30" i="1" s="1"/>
  <c r="C31" i="1"/>
  <c r="D31" i="1" s="1"/>
  <c r="C32" i="1"/>
  <c r="D32" i="1" s="1"/>
  <c r="C27" i="1"/>
  <c r="D27" i="1" s="1"/>
  <c r="A18" i="2"/>
  <c r="A19" i="2"/>
  <c r="A20" i="2"/>
  <c r="A21" i="2"/>
  <c r="A22" i="2"/>
  <c r="A23" i="2"/>
  <c r="A11" i="2"/>
  <c r="A12" i="2"/>
  <c r="A13" i="2"/>
  <c r="A14" i="2"/>
  <c r="A15" i="2"/>
  <c r="A16" i="2"/>
  <c r="A7" i="2"/>
  <c r="A5" i="2"/>
  <c r="A6" i="2"/>
  <c r="A8" i="2"/>
  <c r="A9" i="2"/>
  <c r="A4" i="2"/>
  <c r="C24" i="1"/>
  <c r="C13" i="1"/>
  <c r="C14" i="1" s="1"/>
  <c r="C17" i="1"/>
  <c r="D17" i="1" s="1"/>
  <c r="C18" i="1"/>
  <c r="D18" i="1" s="1"/>
  <c r="C19" i="1"/>
  <c r="D19" i="1" s="1"/>
  <c r="C20" i="1"/>
  <c r="D20" i="1" s="1"/>
  <c r="C21" i="1"/>
  <c r="D21" i="1" s="1"/>
  <c r="C7" i="1"/>
  <c r="D33" i="1" l="1"/>
</calcChain>
</file>

<file path=xl/sharedStrings.xml><?xml version="1.0" encoding="utf-8"?>
<sst xmlns="http://schemas.openxmlformats.org/spreadsheetml/2006/main" count="71" uniqueCount="37">
  <si>
    <t>QUANTO INVESTIR POR MÊS?</t>
  </si>
  <si>
    <t>POR QUANTOS ANOS?</t>
  </si>
  <si>
    <t>TAXA DE RENDIMENTO MENSAl?</t>
  </si>
  <si>
    <t>PATRIMÔNIO ACUMULADO?</t>
  </si>
  <si>
    <t>DIVIDENDO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</si>
  <si>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</si>
  <si>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</si>
  <si>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</si>
  <si>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</si>
  <si>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</si>
  <si>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</si>
  <si>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configuraçõres</t>
  </si>
  <si>
    <t>Sálario</t>
  </si>
  <si>
    <t>Rendimento da carteira</t>
  </si>
  <si>
    <t>Sugestão de Investimento</t>
  </si>
  <si>
    <r>
      <t xml:space="preserve">CENÁRIOS                                                                  </t>
    </r>
    <r>
      <rPr>
        <b/>
        <sz val="12"/>
        <color theme="0"/>
        <rFont val="Calibri"/>
        <family val="2"/>
        <scheme val="minor"/>
      </rPr>
      <t>Dividendo</t>
    </r>
  </si>
  <si>
    <t>Perfil</t>
  </si>
  <si>
    <t>Valor a ser investido por Mês</t>
  </si>
  <si>
    <t>TIPO DE FII</t>
  </si>
  <si>
    <t>PAPEL</t>
  </si>
  <si>
    <t>TIJOLO</t>
  </si>
  <si>
    <t>Percentual Sugerido</t>
  </si>
  <si>
    <t>Valores</t>
  </si>
  <si>
    <t>HIBRIDOS</t>
  </si>
  <si>
    <t>FOFs</t>
  </si>
  <si>
    <t>DESENVOLVIMENTO</t>
  </si>
  <si>
    <t>HOTELARIAS</t>
  </si>
  <si>
    <t>PERFIL</t>
  </si>
  <si>
    <t>TIPOS</t>
  </si>
  <si>
    <t>%</t>
  </si>
  <si>
    <t>CHAVE-COMPOSTA</t>
  </si>
  <si>
    <t>Moderado</t>
  </si>
  <si>
    <t>Conservador</t>
  </si>
  <si>
    <t>Agressivo</t>
  </si>
  <si>
    <t>Higor - Invest</t>
  </si>
  <si>
    <t xml:space="preserve">  </t>
  </si>
  <si>
    <t xml:space="preserve">  DIVIDENDO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</si>
</sst>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72"/>
      <color theme="8" tint="0.39997558519241921"/>
      <name val="Calibri"/>
      <family val="2"/>
      <scheme val="minor"/>
    </font>
    <font>
      <sz val="11"/>
      <color theme="8" tint="0.399975585192419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</fills>
  <borders count="27">
    <border>
      <left/>
      <right/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hair">
        <color auto="1"/>
      </bottom>
      <diagonal/>
    </border>
    <border>
      <left/>
      <right/>
      <top style="thick">
        <color auto="1"/>
      </top>
      <bottom style="hair">
        <color auto="1"/>
      </bottom>
      <diagonal/>
    </border>
    <border>
      <left/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theme="4" tint="0.39994506668294322"/>
      </left>
      <right style="thin">
        <color auto="1"/>
      </right>
      <top style="double">
        <color theme="4" tint="0.39994506668294322"/>
      </top>
      <bottom style="double">
        <color theme="4" tint="0.39994506668294322"/>
      </bottom>
      <diagonal/>
    </border>
    <border>
      <left style="thin">
        <color auto="1"/>
      </left>
      <right style="thin">
        <color auto="1"/>
      </right>
      <top style="double">
        <color theme="4" tint="0.39994506668294322"/>
      </top>
      <bottom style="double">
        <color theme="4" tint="0.39994506668294322"/>
      </bottom>
      <diagonal/>
    </border>
    <border>
      <left style="thin">
        <color auto="1"/>
      </left>
      <right style="double">
        <color theme="4" tint="0.39994506668294322"/>
      </right>
      <top style="double">
        <color theme="4" tint="0.39994506668294322"/>
      </top>
      <bottom style="double">
        <color theme="4" tint="0.3999450666829432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3" borderId="0" applyNumberFormat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16" xfId="0" applyBorder="1"/>
    <xf numFmtId="0" fontId="5" fillId="0" borderId="0" xfId="0" applyFont="1"/>
    <xf numFmtId="0" fontId="3" fillId="2" borderId="21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0" fillId="5" borderId="3" xfId="0" applyFill="1" applyBorder="1"/>
    <xf numFmtId="0" fontId="3" fillId="2" borderId="20" xfId="0" applyFont="1" applyFill="1" applyBorder="1" applyAlignment="1">
      <alignment horizontal="left" vertical="center" indent="3"/>
    </xf>
    <xf numFmtId="0" fontId="0" fillId="4" borderId="4" xfId="0" applyFill="1" applyBorder="1" applyAlignment="1">
      <alignment horizontal="left" indent="3"/>
    </xf>
    <xf numFmtId="0" fontId="0" fillId="4" borderId="7" xfId="0" applyFill="1" applyBorder="1" applyAlignment="1">
      <alignment horizontal="left" indent="3"/>
    </xf>
    <xf numFmtId="0" fontId="3" fillId="2" borderId="10" xfId="0" applyFont="1" applyFill="1" applyBorder="1" applyAlignment="1">
      <alignment horizontal="left" vertical="center" indent="3"/>
    </xf>
    <xf numFmtId="0" fontId="0" fillId="0" borderId="12" xfId="0" applyBorder="1" applyAlignment="1">
      <alignment horizontal="left" indent="3"/>
    </xf>
    <xf numFmtId="0" fontId="2" fillId="4" borderId="12" xfId="0" applyFont="1" applyFill="1" applyBorder="1" applyAlignment="1">
      <alignment horizontal="left" indent="3"/>
    </xf>
    <xf numFmtId="0" fontId="2" fillId="4" borderId="14" xfId="0" applyFont="1" applyFill="1" applyBorder="1" applyAlignment="1">
      <alignment horizontal="left" indent="3"/>
    </xf>
    <xf numFmtId="0" fontId="8" fillId="5" borderId="1" xfId="0" applyFont="1" applyFill="1" applyBorder="1" applyAlignment="1">
      <alignment horizontal="left" vertical="center" indent="3"/>
    </xf>
    <xf numFmtId="0" fontId="0" fillId="0" borderId="4" xfId="0" applyBorder="1" applyAlignment="1">
      <alignment horizontal="left" indent="3"/>
    </xf>
    <xf numFmtId="0" fontId="0" fillId="0" borderId="7" xfId="0" applyBorder="1" applyAlignment="1">
      <alignment horizontal="left" indent="3"/>
    </xf>
    <xf numFmtId="8" fontId="0" fillId="4" borderId="5" xfId="0" applyNumberFormat="1" applyFill="1" applyBorder="1" applyAlignment="1">
      <alignment horizontal="right"/>
    </xf>
    <xf numFmtId="8" fontId="0" fillId="4" borderId="6" xfId="0" applyNumberFormat="1" applyFill="1" applyBorder="1" applyAlignment="1">
      <alignment horizontal="right"/>
    </xf>
    <xf numFmtId="8" fontId="0" fillId="4" borderId="18" xfId="0" applyNumberFormat="1" applyFill="1" applyBorder="1" applyAlignment="1">
      <alignment horizontal="right"/>
    </xf>
    <xf numFmtId="8" fontId="0" fillId="4" borderId="17" xfId="0" applyNumberFormat="1" applyFill="1" applyBorder="1" applyAlignment="1">
      <alignment horizontal="right"/>
    </xf>
    <xf numFmtId="0" fontId="4" fillId="3" borderId="0" xfId="3"/>
    <xf numFmtId="0" fontId="4" fillId="3" borderId="0" xfId="3" applyAlignment="1">
      <alignment horizontal="left" indent="4"/>
    </xf>
    <xf numFmtId="0" fontId="0" fillId="4" borderId="0" xfId="0" applyFill="1" applyBorder="1" applyAlignment="1">
      <alignment horizontal="left" indent="3"/>
    </xf>
    <xf numFmtId="0" fontId="0" fillId="4" borderId="0" xfId="0" applyFill="1"/>
    <xf numFmtId="44" fontId="0" fillId="4" borderId="0" xfId="1" applyFont="1" applyFill="1" applyAlignment="1"/>
    <xf numFmtId="9" fontId="0" fillId="0" borderId="0" xfId="2" applyFont="1" applyAlignment="1">
      <alignment horizontal="center"/>
    </xf>
    <xf numFmtId="44" fontId="0" fillId="0" borderId="0" xfId="1" applyFont="1" applyAlignment="1">
      <alignment horizontal="left"/>
    </xf>
    <xf numFmtId="0" fontId="2" fillId="4" borderId="0" xfId="0" applyFont="1" applyFill="1"/>
    <xf numFmtId="44" fontId="0" fillId="4" borderId="0" xfId="0" applyNumberFormat="1" applyFill="1"/>
    <xf numFmtId="0" fontId="2" fillId="4" borderId="0" xfId="0" applyFont="1" applyFill="1" applyAlignment="1">
      <alignment vertical="center"/>
    </xf>
    <xf numFmtId="0" fontId="5" fillId="6" borderId="0" xfId="0" applyFont="1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9" fontId="0" fillId="6" borderId="0" xfId="2" applyFont="1" applyFill="1" applyAlignment="1">
      <alignment horizontal="center"/>
    </xf>
    <xf numFmtId="0" fontId="6" fillId="2" borderId="22" xfId="0" applyFont="1" applyFill="1" applyBorder="1" applyAlignment="1">
      <alignment vertical="center"/>
    </xf>
    <xf numFmtId="0" fontId="4" fillId="3" borderId="0" xfId="3" applyAlignment="1" applyProtection="1">
      <alignment horizontal="center"/>
      <protection locked="0"/>
    </xf>
    <xf numFmtId="0" fontId="9" fillId="6" borderId="24" xfId="0" applyFont="1" applyFill="1" applyBorder="1" applyAlignment="1">
      <alignment horizontal="center" vertical="center"/>
    </xf>
    <xf numFmtId="0" fontId="10" fillId="6" borderId="25" xfId="0" applyFont="1" applyFill="1" applyBorder="1" applyAlignment="1">
      <alignment horizontal="center" vertical="center"/>
    </xf>
    <xf numFmtId="0" fontId="10" fillId="6" borderId="26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64" fontId="2" fillId="0" borderId="5" xfId="1" applyNumberFormat="1" applyFont="1" applyBorder="1" applyAlignment="1" applyProtection="1">
      <alignment horizontal="right" vertical="center"/>
      <protection locked="0"/>
    </xf>
    <xf numFmtId="164" fontId="2" fillId="0" borderId="13" xfId="1" applyNumberFormat="1" applyFont="1" applyBorder="1" applyAlignment="1" applyProtection="1">
      <alignment horizontal="right" vertical="center"/>
      <protection locked="0"/>
    </xf>
    <xf numFmtId="0" fontId="2" fillId="0" borderId="5" xfId="0" applyFont="1" applyBorder="1" applyAlignment="1" applyProtection="1">
      <alignment horizontal="right"/>
      <protection locked="0"/>
    </xf>
    <xf numFmtId="0" fontId="2" fillId="0" borderId="13" xfId="0" applyFont="1" applyBorder="1" applyAlignment="1" applyProtection="1">
      <alignment horizontal="right"/>
      <protection locked="0"/>
    </xf>
    <xf numFmtId="10" fontId="2" fillId="0" borderId="5" xfId="2" applyNumberFormat="1" applyFont="1" applyBorder="1" applyAlignment="1" applyProtection="1">
      <alignment horizontal="right" vertical="center"/>
      <protection locked="0"/>
    </xf>
    <xf numFmtId="10" fontId="2" fillId="0" borderId="13" xfId="2" applyNumberFormat="1" applyFont="1" applyBorder="1" applyAlignment="1" applyProtection="1">
      <alignment horizontal="right" vertical="center"/>
      <protection locked="0"/>
    </xf>
    <xf numFmtId="8" fontId="2" fillId="4" borderId="5" xfId="0" applyNumberFormat="1" applyFont="1" applyFill="1" applyBorder="1" applyAlignment="1">
      <alignment horizontal="right"/>
    </xf>
    <xf numFmtId="8" fontId="2" fillId="4" borderId="13" xfId="0" applyNumberFormat="1" applyFont="1" applyFill="1" applyBorder="1" applyAlignment="1">
      <alignment horizontal="right"/>
    </xf>
    <xf numFmtId="8" fontId="2" fillId="4" borderId="19" xfId="0" applyNumberFormat="1" applyFont="1" applyFill="1" applyBorder="1" applyAlignment="1">
      <alignment horizontal="right"/>
    </xf>
    <xf numFmtId="8" fontId="2" fillId="4" borderId="15" xfId="0" applyNumberFormat="1" applyFont="1" applyFill="1" applyBorder="1" applyAlignment="1">
      <alignment horizontal="right"/>
    </xf>
    <xf numFmtId="44" fontId="0" fillId="0" borderId="5" xfId="1" applyFont="1" applyBorder="1" applyAlignment="1" applyProtection="1">
      <alignment horizontal="left"/>
      <protection locked="0"/>
    </xf>
    <xf numFmtId="44" fontId="0" fillId="0" borderId="6" xfId="1" applyFont="1" applyBorder="1" applyAlignment="1" applyProtection="1">
      <alignment horizontal="left"/>
      <protection locked="0"/>
    </xf>
    <xf numFmtId="10" fontId="0" fillId="0" borderId="5" xfId="2" applyNumberFormat="1" applyFont="1" applyBorder="1" applyAlignment="1" applyProtection="1">
      <alignment horizontal="right"/>
      <protection locked="0"/>
    </xf>
    <xf numFmtId="10" fontId="0" fillId="0" borderId="6" xfId="2" applyNumberFormat="1" applyFont="1" applyBorder="1" applyAlignment="1" applyProtection="1">
      <alignment horizontal="right"/>
      <protection locked="0"/>
    </xf>
    <xf numFmtId="44" fontId="0" fillId="0" borderId="8" xfId="0" applyNumberFormat="1" applyBorder="1" applyAlignment="1">
      <alignment horizontal="left"/>
    </xf>
    <xf numFmtId="44" fontId="0" fillId="0" borderId="9" xfId="0" applyNumberFormat="1" applyBorder="1" applyAlignment="1">
      <alignment horizontal="left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BF-45B3-B6B9-C03D18B62D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0BF-45B3-B6B9-C03D18B62D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0BF-45B3-B6B9-C03D18B62D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C0BF-45B3-B6B9-C03D18B62D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0BF-45B3-B6B9-C03D18B62D5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C0BF-45B3-B6B9-C03D18B62D5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0BF-45B3-B6B9-C03D18B62D5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C0BF-45B3-B6B9-C03D18B62D5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C0BF-45B3-B6B9-C03D18B62D5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C0BF-45B3-B6B9-C03D18B62D5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C0BF-45B3-B6B9-C03D18B62D5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C0BF-45B3-B6B9-C03D18B62D5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App!$B$27:$B$32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App!$C$27:$C$32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F-45B3-B6B9-C03D18B62D5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0BF-45B3-B6B9-C03D18B62D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C0BF-45B3-B6B9-C03D18B62D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0BF-45B3-B6B9-C03D18B62D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C0BF-45B3-B6B9-C03D18B62D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0BF-45B3-B6B9-C03D18B62D5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C0BF-45B3-B6B9-C03D18B62D5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C0BF-45B3-B6B9-C03D18B62D5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C0BF-45B3-B6B9-C03D18B62D5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C0BF-45B3-B6B9-C03D18B62D5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C0BF-45B3-B6B9-C03D18B62D5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C0BF-45B3-B6B9-C03D18B62D5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C0BF-45B3-B6B9-C03D18B62D5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App!$B$27:$B$32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App!$D$27:$D$32</c:f>
              <c:numCache>
                <c:formatCode>_("R$"* #,##0.00_);_("R$"* \(#,##0.00\);_("R$"* "-"??_);_(@_)</c:formatCode>
                <c:ptCount val="6"/>
                <c:pt idx="0">
                  <c:v>1500</c:v>
                </c:pt>
                <c:pt idx="1">
                  <c:v>2500</c:v>
                </c:pt>
                <c:pt idx="2">
                  <c:v>500</c:v>
                </c:pt>
                <c:pt idx="3">
                  <c:v>500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F-45B3-B6B9-C03D18B62D5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742950</xdr:colOff>
      <xdr:row>33</xdr:row>
      <xdr:rowOff>61912</xdr:rowOff>
    </xdr:from>
    <xdr:to>
      <xdr:col>3</xdr:col>
      <xdr:colOff>266700</xdr:colOff>
      <xdr:row>47</xdr:row>
      <xdr:rowOff>138112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A702AF5-541F-4715-AFC3-863D9AA76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8E5D-9648-4B42-A03F-EDA35C6EC981}">
  <dimension ref="A3:D23"/>
  <sheetViews>
    <sheetView workbookViewId="0">
      <selection activeCell="I12" sqref="I12"/>
    </sheetView>
  </sheetViews>
  <sheetFormatPr defaultRowHeight="15" x14ac:dyDescent="0.25"/>
  <cols>
    <col min="1" max="1" width="31.28515625" bestFit="1" customWidth="1"/>
    <col min="2" max="2" width="14.7109375" bestFit="1" customWidth="1"/>
    <col min="3" max="3" width="19" bestFit="1" customWidth="1"/>
  </cols>
  <sheetData>
    <row r="3" spans="1:4" x14ac:dyDescent="0.25">
      <c r="A3" s="32" t="s">
        <v>30</v>
      </c>
      <c r="B3" s="32" t="s">
        <v>27</v>
      </c>
      <c r="C3" s="32" t="s">
        <v>28</v>
      </c>
      <c r="D3" s="32" t="s">
        <v>29</v>
      </c>
    </row>
    <row r="4" spans="1:4" x14ac:dyDescent="0.25">
      <c r="A4" t="str">
        <f>B4&amp;"-"&amp;C4</f>
        <v>Conservador-PAPEL</v>
      </c>
      <c r="B4" t="s">
        <v>32</v>
      </c>
      <c r="C4" s="2" t="s">
        <v>19</v>
      </c>
      <c r="D4" s="27">
        <v>0.3</v>
      </c>
    </row>
    <row r="5" spans="1:4" x14ac:dyDescent="0.25">
      <c r="A5" t="str">
        <f t="shared" ref="A5:A23" si="0">B5&amp;"-"&amp;C5</f>
        <v>Conservador-TIJOLO</v>
      </c>
      <c r="B5" t="s">
        <v>32</v>
      </c>
      <c r="C5" s="2" t="s">
        <v>20</v>
      </c>
      <c r="D5" s="27">
        <v>0.5</v>
      </c>
    </row>
    <row r="6" spans="1:4" x14ac:dyDescent="0.25">
      <c r="A6" t="str">
        <f t="shared" si="0"/>
        <v>Conservador-HIBRIDOS</v>
      </c>
      <c r="B6" t="s">
        <v>32</v>
      </c>
      <c r="C6" s="2" t="s">
        <v>23</v>
      </c>
      <c r="D6" s="27">
        <v>0.1</v>
      </c>
    </row>
    <row r="7" spans="1:4" x14ac:dyDescent="0.25">
      <c r="A7" t="str">
        <f t="shared" si="0"/>
        <v>Conservador-FOFs</v>
      </c>
      <c r="B7" t="s">
        <v>32</v>
      </c>
      <c r="C7" s="2" t="s">
        <v>24</v>
      </c>
      <c r="D7" s="27">
        <v>0.1</v>
      </c>
    </row>
    <row r="8" spans="1:4" x14ac:dyDescent="0.25">
      <c r="A8" t="str">
        <f t="shared" si="0"/>
        <v>Conservador-DESENVOLVIMENTO</v>
      </c>
      <c r="B8" t="s">
        <v>32</v>
      </c>
      <c r="C8" s="2" t="s">
        <v>25</v>
      </c>
      <c r="D8" s="27">
        <v>0</v>
      </c>
    </row>
    <row r="9" spans="1:4" x14ac:dyDescent="0.25">
      <c r="A9" t="str">
        <f t="shared" si="0"/>
        <v>Conservador-HOTELARIAS</v>
      </c>
      <c r="B9" t="s">
        <v>32</v>
      </c>
      <c r="C9" s="2" t="s">
        <v>26</v>
      </c>
      <c r="D9" s="27">
        <v>0</v>
      </c>
    </row>
    <row r="10" spans="1:4" x14ac:dyDescent="0.25">
      <c r="A10" s="33"/>
      <c r="B10" s="33"/>
      <c r="C10" s="34"/>
      <c r="D10" s="35"/>
    </row>
    <row r="11" spans="1:4" x14ac:dyDescent="0.25">
      <c r="A11" t="str">
        <f t="shared" si="0"/>
        <v>Moderado-PAPEL</v>
      </c>
      <c r="B11" t="s">
        <v>31</v>
      </c>
      <c r="C11" s="2" t="s">
        <v>19</v>
      </c>
      <c r="D11" s="27">
        <v>0.32</v>
      </c>
    </row>
    <row r="12" spans="1:4" x14ac:dyDescent="0.25">
      <c r="A12" t="str">
        <f t="shared" si="0"/>
        <v>Moderado-TIJOLO</v>
      </c>
      <c r="B12" t="s">
        <v>31</v>
      </c>
      <c r="C12" s="2" t="s">
        <v>20</v>
      </c>
      <c r="D12" s="27">
        <v>0.4</v>
      </c>
    </row>
    <row r="13" spans="1:4" x14ac:dyDescent="0.25">
      <c r="A13" t="str">
        <f t="shared" si="0"/>
        <v>Moderado-HIBRIDOS</v>
      </c>
      <c r="B13" t="s">
        <v>31</v>
      </c>
      <c r="C13" s="2" t="s">
        <v>23</v>
      </c>
      <c r="D13" s="27">
        <v>0.08</v>
      </c>
    </row>
    <row r="14" spans="1:4" x14ac:dyDescent="0.25">
      <c r="A14" t="str">
        <f t="shared" si="0"/>
        <v>Moderado-FOFs</v>
      </c>
      <c r="B14" t="s">
        <v>31</v>
      </c>
      <c r="C14" s="2" t="s">
        <v>24</v>
      </c>
      <c r="D14" s="27">
        <v>0.1</v>
      </c>
    </row>
    <row r="15" spans="1:4" x14ac:dyDescent="0.25">
      <c r="A15" t="str">
        <f t="shared" si="0"/>
        <v>Moderado-DESENVOLVIMENTO</v>
      </c>
      <c r="B15" t="s">
        <v>31</v>
      </c>
      <c r="C15" s="2" t="s">
        <v>25</v>
      </c>
      <c r="D15" s="27">
        <v>0.1</v>
      </c>
    </row>
    <row r="16" spans="1:4" x14ac:dyDescent="0.25">
      <c r="A16" t="str">
        <f t="shared" si="0"/>
        <v>Moderado-HOTELARIAS</v>
      </c>
      <c r="B16" t="s">
        <v>31</v>
      </c>
      <c r="C16" s="2" t="s">
        <v>26</v>
      </c>
      <c r="D16" s="27">
        <v>0</v>
      </c>
    </row>
    <row r="17" spans="1:4" x14ac:dyDescent="0.25">
      <c r="A17" s="33"/>
      <c r="B17" s="33"/>
      <c r="C17" s="34"/>
      <c r="D17" s="33"/>
    </row>
    <row r="18" spans="1:4" x14ac:dyDescent="0.25">
      <c r="A18" t="str">
        <f t="shared" si="0"/>
        <v>Agressivo-PAPEL</v>
      </c>
      <c r="B18" t="s">
        <v>33</v>
      </c>
      <c r="C18" s="2" t="s">
        <v>19</v>
      </c>
      <c r="D18" s="27">
        <v>0.5</v>
      </c>
    </row>
    <row r="19" spans="1:4" x14ac:dyDescent="0.25">
      <c r="A19" t="str">
        <f t="shared" si="0"/>
        <v>Agressivo-TIJOLO</v>
      </c>
      <c r="B19" t="s">
        <v>33</v>
      </c>
      <c r="C19" s="2" t="s">
        <v>20</v>
      </c>
      <c r="D19" s="27">
        <v>0.1</v>
      </c>
    </row>
    <row r="20" spans="1:4" x14ac:dyDescent="0.25">
      <c r="A20" t="str">
        <f t="shared" si="0"/>
        <v>Agressivo-HIBRIDOS</v>
      </c>
      <c r="B20" t="s">
        <v>33</v>
      </c>
      <c r="C20" s="2" t="s">
        <v>23</v>
      </c>
      <c r="D20" s="27">
        <v>0.05</v>
      </c>
    </row>
    <row r="21" spans="1:4" x14ac:dyDescent="0.25">
      <c r="A21" t="str">
        <f t="shared" si="0"/>
        <v>Agressivo-FOFs</v>
      </c>
      <c r="B21" t="s">
        <v>33</v>
      </c>
      <c r="C21" s="2" t="s">
        <v>24</v>
      </c>
      <c r="D21" s="27">
        <v>0.05</v>
      </c>
    </row>
    <row r="22" spans="1:4" x14ac:dyDescent="0.25">
      <c r="A22" t="str">
        <f t="shared" si="0"/>
        <v>Agressivo-DESENVOLVIMENTO</v>
      </c>
      <c r="B22" t="s">
        <v>33</v>
      </c>
      <c r="C22" s="2" t="s">
        <v>25</v>
      </c>
      <c r="D22" s="27">
        <v>0.2</v>
      </c>
    </row>
    <row r="23" spans="1:4" x14ac:dyDescent="0.25">
      <c r="A23" t="str">
        <f t="shared" si="0"/>
        <v>Agressivo-HOTELARIAS</v>
      </c>
      <c r="B23" t="s">
        <v>33</v>
      </c>
      <c r="C23" s="2" t="s">
        <v>26</v>
      </c>
      <c r="D23" s="27">
        <v>0.1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552C-3F21-403B-89B5-0F457800216A}">
  <dimension ref="A1:G54"/>
  <sheetViews>
    <sheetView showGridLines="0" showRowColHeaders="0" tabSelected="1" topLeftCell="A28" zoomScale="115" zoomScaleNormal="115" workbookViewId="0">
      <selection activeCell="C23" sqref="C23"/>
    </sheetView>
  </sheetViews>
  <sheetFormatPr defaultColWidth="0" defaultRowHeight="15" x14ac:dyDescent="0.25"/>
  <cols>
    <col min="1" max="1" width="9.140625" customWidth="1"/>
    <col min="2" max="2" width="44.7109375" customWidth="1"/>
    <col min="3" max="3" width="31" bestFit="1" customWidth="1"/>
    <col min="4" max="4" width="14.42578125" bestFit="1" customWidth="1"/>
    <col min="5" max="5" width="13.28515625" customWidth="1"/>
    <col min="6" max="6" width="12.140625" hidden="1" customWidth="1"/>
    <col min="7" max="16384" width="9.140625" hidden="1"/>
  </cols>
  <sheetData>
    <row r="1" spans="2:7" ht="15.75" thickBot="1" x14ac:dyDescent="0.3"/>
    <row r="2" spans="2:7" ht="119.25" customHeight="1" thickTop="1" thickBot="1" x14ac:dyDescent="0.3">
      <c r="B2" s="38" t="s">
        <v>34</v>
      </c>
      <c r="C2" s="39"/>
      <c r="D2" s="40"/>
    </row>
    <row r="3" spans="2:7" ht="16.5" thickTop="1" thickBot="1" x14ac:dyDescent="0.3"/>
    <row r="4" spans="2:7" ht="29.25" thickTop="1" x14ac:dyDescent="0.25">
      <c r="B4" s="15" t="s">
        <v>11</v>
      </c>
      <c r="C4" s="6"/>
      <c r="D4" s="7"/>
    </row>
    <row r="5" spans="2:7" x14ac:dyDescent="0.25">
      <c r="B5" s="16" t="s">
        <v>12</v>
      </c>
      <c r="C5" s="53">
        <v>5000</v>
      </c>
      <c r="D5" s="54"/>
    </row>
    <row r="6" spans="2:7" x14ac:dyDescent="0.25">
      <c r="B6" s="16" t="s">
        <v>13</v>
      </c>
      <c r="C6" s="55">
        <v>6.0000000000000001E-3</v>
      </c>
      <c r="D6" s="56"/>
    </row>
    <row r="7" spans="2:7" ht="15.75" thickBot="1" x14ac:dyDescent="0.3">
      <c r="B7" s="17" t="s">
        <v>14</v>
      </c>
      <c r="C7" s="57">
        <f>C5*30%</f>
        <v>1500</v>
      </c>
      <c r="D7" s="58"/>
    </row>
    <row r="8" spans="2:7" ht="15.75" thickTop="1" x14ac:dyDescent="0.25"/>
    <row r="9" spans="2:7" ht="30" customHeight="1" x14ac:dyDescent="0.25">
      <c r="B9" s="11" t="s">
        <v>5</v>
      </c>
      <c r="C9" s="41"/>
      <c r="D9" s="42"/>
    </row>
    <row r="10" spans="2:7" x14ac:dyDescent="0.25">
      <c r="B10" s="12" t="s">
        <v>0</v>
      </c>
      <c r="C10" s="43">
        <v>5000</v>
      </c>
      <c r="D10" s="44"/>
    </row>
    <row r="11" spans="2:7" x14ac:dyDescent="0.25">
      <c r="B11" s="12" t="s">
        <v>1</v>
      </c>
      <c r="C11" s="45">
        <v>5</v>
      </c>
      <c r="D11" s="46"/>
      <c r="G11" s="1"/>
    </row>
    <row r="12" spans="2:7" x14ac:dyDescent="0.25">
      <c r="B12" s="12" t="s">
        <v>2</v>
      </c>
      <c r="C12" s="47">
        <v>1.0789999999999999E-2</v>
      </c>
      <c r="D12" s="48"/>
    </row>
    <row r="13" spans="2:7" x14ac:dyDescent="0.25">
      <c r="B13" s="13" t="s">
        <v>3</v>
      </c>
      <c r="C13" s="49">
        <f>FV(taxa_mensal,anos*12,aporte*(-1))</f>
        <v>418884.56999243819</v>
      </c>
      <c r="D13" s="50"/>
    </row>
    <row r="14" spans="2:7" x14ac:dyDescent="0.25">
      <c r="B14" s="14" t="s">
        <v>4</v>
      </c>
      <c r="C14" s="51">
        <f>C13*C12</f>
        <v>4519.7645102184078</v>
      </c>
      <c r="D14" s="52"/>
    </row>
    <row r="15" spans="2:7" ht="15.75" thickBot="1" x14ac:dyDescent="0.3"/>
    <row r="16" spans="2:7" ht="27" thickTop="1" x14ac:dyDescent="0.25">
      <c r="B16" s="8" t="s">
        <v>15</v>
      </c>
      <c r="C16" s="5" t="s">
        <v>35</v>
      </c>
      <c r="D16" s="36" t="s">
        <v>36</v>
      </c>
      <c r="F16" s="3"/>
    </row>
    <row r="17" spans="1:4" x14ac:dyDescent="0.25">
      <c r="A17" s="4">
        <v>2</v>
      </c>
      <c r="B17" s="9" t="s">
        <v>6</v>
      </c>
      <c r="C17" s="18">
        <f>FV(taxa_mensal,A17*12,aporte*(-1))</f>
        <v>136138.1364882261</v>
      </c>
      <c r="D17" s="19">
        <f>C17*rendimento</f>
        <v>816.82881892935654</v>
      </c>
    </row>
    <row r="18" spans="1:4" x14ac:dyDescent="0.25">
      <c r="A18" s="4">
        <v>5</v>
      </c>
      <c r="B18" s="9" t="s">
        <v>7</v>
      </c>
      <c r="C18" s="18">
        <f>FV(taxa_mensal,A18*12,aporte*(-1))</f>
        <v>418884.56999243819</v>
      </c>
      <c r="D18" s="19">
        <f>C18*rendimento</f>
        <v>2513.307419954629</v>
      </c>
    </row>
    <row r="19" spans="1:4" x14ac:dyDescent="0.25">
      <c r="A19" s="4">
        <v>10</v>
      </c>
      <c r="B19" s="9" t="s">
        <v>8</v>
      </c>
      <c r="C19" s="18">
        <f>FV(taxa_mensal,A19*12,aporte*(-1))</f>
        <v>1216421.062650861</v>
      </c>
      <c r="D19" s="19">
        <f>C19*rendimento</f>
        <v>7298.5263759051659</v>
      </c>
    </row>
    <row r="20" spans="1:4" x14ac:dyDescent="0.25">
      <c r="A20" s="4">
        <v>20</v>
      </c>
      <c r="B20" s="9" t="s">
        <v>9</v>
      </c>
      <c r="C20" s="18">
        <f>FV(taxa_mensal,A20*12,aporte*(-1))</f>
        <v>5625992.0004854025</v>
      </c>
      <c r="D20" s="19">
        <f>C20*rendimento</f>
        <v>33755.952002912418</v>
      </c>
    </row>
    <row r="21" spans="1:4" ht="15.75" thickBot="1" x14ac:dyDescent="0.3">
      <c r="A21" s="4">
        <v>30</v>
      </c>
      <c r="B21" s="10" t="s">
        <v>10</v>
      </c>
      <c r="C21" s="20">
        <f>FV(taxa_mensal,A21*12,aporte*(-1))</f>
        <v>21610848.275023572</v>
      </c>
      <c r="D21" s="21">
        <f>C21*rendimento</f>
        <v>129665.08965014144</v>
      </c>
    </row>
    <row r="22" spans="1:4" ht="15.75" thickTop="1" x14ac:dyDescent="0.25"/>
    <row r="23" spans="1:4" x14ac:dyDescent="0.25">
      <c r="B23" s="23" t="s">
        <v>16</v>
      </c>
      <c r="C23" s="37" t="s">
        <v>32</v>
      </c>
      <c r="D23" s="22"/>
    </row>
    <row r="24" spans="1:4" x14ac:dyDescent="0.25">
      <c r="B24" s="24" t="s">
        <v>17</v>
      </c>
      <c r="C24" s="26">
        <f>aporte</f>
        <v>5000</v>
      </c>
      <c r="D24" s="25"/>
    </row>
    <row r="26" spans="1:4" x14ac:dyDescent="0.25">
      <c r="B26" s="29" t="s">
        <v>18</v>
      </c>
      <c r="C26" s="31" t="s">
        <v>21</v>
      </c>
      <c r="D26" s="29" t="s">
        <v>22</v>
      </c>
    </row>
    <row r="27" spans="1:4" x14ac:dyDescent="0.25">
      <c r="B27" t="s">
        <v>19</v>
      </c>
      <c r="C27" s="27">
        <f>VLOOKUP($C$23&amp;"-"&amp;B27,tabela_de_apoio!$A:$D,4,FALSE)</f>
        <v>0.3</v>
      </c>
      <c r="D27" s="28">
        <f t="shared" ref="D27:D32" si="0">aporte*C27</f>
        <v>1500</v>
      </c>
    </row>
    <row r="28" spans="1:4" x14ac:dyDescent="0.25">
      <c r="B28" t="s">
        <v>20</v>
      </c>
      <c r="C28" s="27">
        <f>VLOOKUP($C$23&amp;"-"&amp;B28,tabela_de_apoio!$A:$D,4,FALSE)</f>
        <v>0.5</v>
      </c>
      <c r="D28" s="28">
        <f t="shared" si="0"/>
        <v>2500</v>
      </c>
    </row>
    <row r="29" spans="1:4" x14ac:dyDescent="0.25">
      <c r="B29" t="s">
        <v>23</v>
      </c>
      <c r="C29" s="27">
        <f>VLOOKUP($C$23&amp;"-"&amp;B29,tabela_de_apoio!$A:$D,4,FALSE)</f>
        <v>0.1</v>
      </c>
      <c r="D29" s="28">
        <f t="shared" si="0"/>
        <v>500</v>
      </c>
    </row>
    <row r="30" spans="1:4" x14ac:dyDescent="0.25">
      <c r="B30" t="s">
        <v>24</v>
      </c>
      <c r="C30" s="27">
        <f>VLOOKUP($C$23&amp;"-"&amp;B30,tabela_de_apoio!$A:$D,4,FALSE)</f>
        <v>0.1</v>
      </c>
      <c r="D30" s="28">
        <f t="shared" si="0"/>
        <v>500</v>
      </c>
    </row>
    <row r="31" spans="1:4" x14ac:dyDescent="0.25">
      <c r="B31" t="s">
        <v>25</v>
      </c>
      <c r="C31" s="27">
        <f>VLOOKUP($C$23&amp;"-"&amp;B31,tabela_de_apoio!$A:$D,4,FALSE)</f>
        <v>0</v>
      </c>
      <c r="D31" s="28">
        <f t="shared" si="0"/>
        <v>0</v>
      </c>
    </row>
    <row r="32" spans="1:4" x14ac:dyDescent="0.25">
      <c r="B32" t="s">
        <v>26</v>
      </c>
      <c r="C32" s="27">
        <f>VLOOKUP($C$23&amp;"-"&amp;B32,tabela_de_apoio!$A:$D,4,FALSE)</f>
        <v>0</v>
      </c>
      <c r="D32" s="28">
        <f t="shared" si="0"/>
        <v>0</v>
      </c>
    </row>
    <row r="33" spans="2:4" x14ac:dyDescent="0.25">
      <c r="B33" s="25"/>
      <c r="C33" s="25"/>
      <c r="D33" s="30">
        <f>SUM(D27:D32)</f>
        <v>5000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</sheetData>
  <sheetProtection sheet="1" objects="1" scenarios="1"/>
  <mergeCells count="10">
    <mergeCell ref="C13:D13"/>
    <mergeCell ref="C14:D14"/>
    <mergeCell ref="C5:D5"/>
    <mergeCell ref="C6:D6"/>
    <mergeCell ref="C7:D7"/>
    <mergeCell ref="B2:D2"/>
    <mergeCell ref="C9:D9"/>
    <mergeCell ref="C10:D10"/>
    <mergeCell ref="C11:D11"/>
    <mergeCell ref="C12:D12"/>
  </mergeCells>
  <dataValidations count="1">
    <dataValidation type="list" allowBlank="1" showInputMessage="1" showErrorMessage="1" sqref="C23" xr:uid="{66053D88-3B50-4AA2-AF34-44858B573905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tabela_de_apoio</vt:lpstr>
      <vt:lpstr>App</vt:lpstr>
      <vt:lpstr>anos</vt:lpstr>
      <vt:lpstr>aporte</vt:lpstr>
      <vt:lpstr>rendimento</vt:lpstr>
      <vt:lpstr>taxa_mensal</vt:lpstr>
      <vt:lpstr>tota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Maite</dc:creator>
  <cp:lastModifiedBy>Maite</cp:lastModifiedBy>
  <cp:lastPrinted>2026-10-06T01:57:39Z</cp:lastPrinted>
  <dcterms:created xsi:type="dcterms:W3CDTF">2026-10-05T18:34:53Z</dcterms:created>
  <dcterms:modified xsi:type="dcterms:W3CDTF">2026-10-06T02:03:54Z</dcterms:modified>
</cp:coreProperties>
</file>